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Summary" sheetId="1" state="visible" r:id="rId1"/>
    <sheet name="Zombie_Instances_Audit" sheetId="2" state="visible" r:id="rId2"/>
    <sheet name="Reserved_Instance_WhatI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.0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64748B"/>
      <sz val="11"/>
    </font>
    <font>
      <name val="Calibri"/>
      <color rgb="0064748B"/>
      <sz val="10"/>
    </font>
    <font>
      <name val="Calibri"/>
      <b val="1"/>
      <color rgb="000F172A"/>
      <sz val="18"/>
    </font>
    <font>
      <name val="Calibri"/>
      <b val="1"/>
      <color rgb="001E3A8A"/>
      <sz val="12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991B1B"/>
      <sz val="10"/>
    </font>
    <font>
      <name val="Calibri"/>
      <b val="1"/>
      <sz val="11"/>
    </font>
    <font>
      <name val="Calibri"/>
      <i val="1"/>
      <color rgb="0064748B"/>
      <sz val="10"/>
    </font>
    <font>
      <name val="Calibri"/>
      <b val="1"/>
      <color rgb="0015803D"/>
      <sz val="11"/>
    </font>
  </fonts>
  <fills count="8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DBEAFE"/>
        <bgColor rgb="00DBEAFE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1E3A8A"/>
        <bgColor rgb="001E3A8A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center" vertical="center"/>
    </xf>
    <xf numFmtId="0" fontId="8" fillId="0" borderId="1" pivotButton="0" quotePrefix="0" xfId="0"/>
    <xf numFmtId="166" fontId="8" fillId="0" borderId="1" pivotButton="0" quotePrefix="0" xfId="0"/>
    <xf numFmtId="164" fontId="8" fillId="0" borderId="1" pivotButton="0" quotePrefix="0" xfId="0"/>
    <xf numFmtId="164" fontId="8" fillId="4" borderId="1" pivotButton="0" quotePrefix="0" xfId="0"/>
    <xf numFmtId="10" fontId="8" fillId="0" borderId="1" pivotButton="0" quotePrefix="0" xfId="0"/>
    <xf numFmtId="0" fontId="9" fillId="4" borderId="1" pivotButton="0" quotePrefix="0" xfId="0"/>
    <xf numFmtId="0" fontId="8" fillId="7" borderId="1" pivotButton="0" quotePrefix="0" xfId="0"/>
    <xf numFmtId="0" fontId="10" fillId="0" borderId="0" pivotButton="0" quotePrefix="0" xfId="0"/>
    <xf numFmtId="164" fontId="10" fillId="0" borderId="0" pivotButton="0" quotePrefix="0" xfId="0"/>
    <xf numFmtId="0" fontId="11" fillId="0" borderId="0" pivotButton="0" quotePrefix="0" xfId="0"/>
    <xf numFmtId="165" fontId="5" fillId="3" borderId="1" pivotButton="0" quotePrefix="0" xfId="0"/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4" fontId="0" fillId="5" borderId="1" pivotButton="0" quotePrefix="0" xfId="0"/>
    <xf numFmtId="164" fontId="1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1" workbookViewId="0">
      <selection activeCell="A1" sqref="A1"/>
    </sheetView>
  </sheetViews>
  <sheetFormatPr baseColWidth="8" defaultRowHeight="15"/>
  <cols>
    <col width="134" customWidth="1" min="1" max="1"/>
    <col width="39" customWidth="1" min="2" max="2"/>
    <col width="39" customWidth="1" min="3" max="3"/>
    <col width="25" customWidth="1" min="4" max="4"/>
    <col width="29" customWidth="1" min="5" max="5"/>
    <col width="33" customWidth="1" min="6" max="6"/>
    <col width="12" customWidth="1" min="7" max="7"/>
  </cols>
  <sheetData>
    <row r="1">
      <c r="A1" s="1" t="inlineStr">
        <is>
          <t>ENTERPRISE CLOUD FINOPS &amp; COST OPTIMIZATION MODEL</t>
        </is>
      </c>
    </row>
    <row r="2"/>
    <row r="3">
      <c r="A3" s="2" t="inlineStr">
        <is>
          <t>Automated Infrastructure Audit &amp; Strategic Capacity Plan</t>
        </is>
      </c>
    </row>
    <row r="4"/>
    <row r="5">
      <c r="B5" s="3" t="inlineStr">
        <is>
          <t>Total Fleet Spend (60d)</t>
        </is>
      </c>
      <c r="C5" s="3" t="inlineStr">
        <is>
          <t>Identified Waste (60d)</t>
        </is>
      </c>
      <c r="D5" s="3" t="inlineStr">
        <is>
          <t>Waste % of Total Bill</t>
        </is>
      </c>
      <c r="E5" s="3" t="inlineStr">
        <is>
          <t>Annualized Run-Rate Waste</t>
        </is>
      </c>
      <c r="F5" s="3" t="inlineStr">
        <is>
          <t>Reserved Instance Savings</t>
        </is>
      </c>
    </row>
    <row r="6">
      <c r="B6" s="4">
        <f>SUM(Zombie_Instances_Audit!G5:G16)</f>
        <v/>
      </c>
      <c r="C6" s="5">
        <f>SUM(Zombie_Instances_Audit!H5:H16)</f>
        <v/>
      </c>
      <c r="D6" s="6">
        <f>C6/B6</f>
        <v/>
      </c>
      <c r="E6" s="4">
        <f>C6*(365/60)</f>
        <v/>
      </c>
      <c r="F6" s="7">
        <f>Reserved_Instance_WhatIf!H13</f>
        <v/>
      </c>
    </row>
    <row r="7"/>
    <row r="8"/>
    <row r="9">
      <c r="A9" s="8" t="inlineStr">
        <is>
          <t>Key Strategic Recommendations for Engineering Leadership:</t>
        </is>
      </c>
    </row>
    <row r="10">
      <c r="A10" s="9" t="inlineStr">
        <is>
          <t>1. Immediate Decommission: Terminate 3 idle development servers (ml-experiments, qa-testing, legacy-sync) saving $7,784/year.</t>
        </is>
      </c>
    </row>
    <row r="11">
      <c r="A11" s="9" t="inlineStr">
        <is>
          <t>2. Reserved Instance Conversion: Transition 5 stable 24/7 production workloads to 1-Year RIs for a guaranteed 38% price reduction.</t>
        </is>
      </c>
    </row>
    <row r="12">
      <c r="A12" s="9" t="inlineStr">
        <is>
          <t>3. Memory Leak Hotfix: Deploy hotfix on payment-gateway to eliminate cyclic RAM accumulation causing 278 hours of SLA downtime.</t>
        </is>
      </c>
    </row>
    <row r="13">
      <c r="A13" s="9" t="inlineStr">
        <is>
          <t>4. Projected Total Annual Bottom-Line Recovery: Over $11,500 in recurrent infrastructure waste eliminated.</t>
        </is>
      </c>
    </row>
  </sheetData>
  <mergeCells count="1"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1" workbookViewId="0">
      <selection activeCell="A1" sqref="A1"/>
    </sheetView>
  </sheetViews>
  <sheetFormatPr baseColWidth="8" defaultRowHeight="15"/>
  <cols>
    <col width="49" customWidth="1" min="1" max="1"/>
    <col width="25" customWidth="1" min="2" max="2"/>
    <col width="12" customWidth="1" min="3" max="3"/>
    <col width="15" customWidth="1" min="4" max="4"/>
    <col width="19" customWidth="1" min="5" max="5"/>
    <col width="19" customWidth="1" min="6" max="6"/>
    <col width="20" customWidth="1" min="7" max="7"/>
    <col width="24" customWidth="1" min="8" max="8"/>
    <col width="24" customWidth="1" min="9" max="9"/>
    <col width="21" customWidth="1" min="10" max="10"/>
    <col width="28" customWidth="1" min="11" max="11"/>
  </cols>
  <sheetData>
    <row r="1">
      <c r="A1" s="8" t="inlineStr">
        <is>
          <t>Fleet-Wide Resource Utilization &amp; Waste Audit</t>
        </is>
      </c>
    </row>
    <row r="2"/>
    <row r="3"/>
    <row r="4">
      <c r="A4" s="10" t="inlineStr">
        <is>
          <t>Instance ID</t>
        </is>
      </c>
      <c r="B4" s="10" t="inlineStr">
        <is>
          <t>Service Name</t>
        </is>
      </c>
      <c r="C4" s="10" t="inlineStr">
        <is>
          <t>Provider</t>
        </is>
      </c>
      <c r="D4" s="10" t="inlineStr">
        <is>
          <t>Environment</t>
        </is>
      </c>
      <c r="E4" s="10" t="inlineStr">
        <is>
          <t>Instance Type</t>
        </is>
      </c>
      <c r="F4" s="10" t="inlineStr">
        <is>
          <t>Hourly Cost ($)</t>
        </is>
      </c>
      <c r="G4" s="10" t="inlineStr">
        <is>
          <t>60-Day Spend ($)</t>
        </is>
      </c>
      <c r="H4" s="10" t="inlineStr">
        <is>
          <t>Identified Waste ($)</t>
        </is>
      </c>
      <c r="I4" s="10" t="inlineStr">
        <is>
          <t>Avg CPU %</t>
        </is>
      </c>
      <c r="J4" s="10" t="inlineStr">
        <is>
          <t>Status</t>
        </is>
      </c>
      <c r="K4" s="10" t="inlineStr">
        <is>
          <t>Action Plan</t>
        </is>
      </c>
    </row>
    <row r="5">
      <c r="A5" s="11" t="inlineStr">
        <is>
          <t>i-dev-sandbox-ml</t>
        </is>
      </c>
      <c r="B5" s="11" t="inlineStr">
        <is>
          <t>ml-experiments</t>
        </is>
      </c>
      <c r="C5" s="11" t="inlineStr">
        <is>
          <t>AWS</t>
        </is>
      </c>
      <c r="D5" s="11" t="inlineStr">
        <is>
          <t>Development</t>
        </is>
      </c>
      <c r="E5" s="11" t="inlineStr">
        <is>
          <t>r5.2xlarge</t>
        </is>
      </c>
      <c r="F5" s="12" t="n">
        <v>0.504</v>
      </c>
      <c r="G5" s="13" t="n">
        <v>726.26</v>
      </c>
      <c r="H5" s="14" t="n">
        <v>726.26</v>
      </c>
      <c r="I5" s="15" t="n">
        <v>0.0248</v>
      </c>
      <c r="J5" s="16" t="inlineStr">
        <is>
          <t>Zombie / Idle</t>
        </is>
      </c>
      <c r="K5" s="11" t="inlineStr">
        <is>
          <t>Decommission Immediately</t>
        </is>
      </c>
    </row>
    <row r="6">
      <c r="A6" s="11" t="inlineStr">
        <is>
          <t>i-dev-test01</t>
        </is>
      </c>
      <c r="B6" s="11" t="inlineStr">
        <is>
          <t>qa-testing</t>
        </is>
      </c>
      <c r="C6" s="11" t="inlineStr">
        <is>
          <t>AWS</t>
        </is>
      </c>
      <c r="D6" s="11" t="inlineStr">
        <is>
          <t>Development</t>
        </is>
      </c>
      <c r="E6" s="11" t="inlineStr">
        <is>
          <t>m5.xlarge</t>
        </is>
      </c>
      <c r="F6" s="12" t="n">
        <v>0.192</v>
      </c>
      <c r="G6" s="13" t="n">
        <v>276.67</v>
      </c>
      <c r="H6" s="14" t="n">
        <v>276.67</v>
      </c>
      <c r="I6" s="15" t="n">
        <v>0.025</v>
      </c>
      <c r="J6" s="16" t="inlineStr">
        <is>
          <t>Zombie / Idle</t>
        </is>
      </c>
      <c r="K6" s="11" t="inlineStr">
        <is>
          <t>Decommission Immediately</t>
        </is>
      </c>
    </row>
    <row r="7">
      <c r="A7" s="11" t="inlineStr">
        <is>
          <t>vm-dev-legacy01</t>
        </is>
      </c>
      <c r="B7" s="11" t="inlineStr">
        <is>
          <t>legacy-sync</t>
        </is>
      </c>
      <c r="C7" s="11" t="inlineStr">
        <is>
          <t>Azure</t>
        </is>
      </c>
      <c r="D7" s="11" t="inlineStr">
        <is>
          <t>Development</t>
        </is>
      </c>
      <c r="E7" s="11" t="inlineStr">
        <is>
          <t>Standard_D4s_v5</t>
        </is>
      </c>
      <c r="F7" s="12" t="n">
        <v>0.192</v>
      </c>
      <c r="G7" s="13" t="n">
        <v>276.67</v>
      </c>
      <c r="H7" s="14" t="n">
        <v>276.67</v>
      </c>
      <c r="I7" s="15" t="n">
        <v>0.0249</v>
      </c>
      <c r="J7" s="16" t="inlineStr">
        <is>
          <t>Zombie / Idle</t>
        </is>
      </c>
      <c r="K7" s="11" t="inlineStr">
        <is>
          <t>Decommission Immediately</t>
        </is>
      </c>
    </row>
    <row r="8">
      <c r="A8" s="11" t="inlineStr">
        <is>
          <t>i-prod-auth01</t>
        </is>
      </c>
      <c r="B8" s="11" t="inlineStr">
        <is>
          <t>auth-service</t>
        </is>
      </c>
      <c r="C8" s="11" t="inlineStr">
        <is>
          <t>AWS</t>
        </is>
      </c>
      <c r="D8" s="11" t="inlineStr">
        <is>
          <t>Production</t>
        </is>
      </c>
      <c r="E8" s="11" t="inlineStr">
        <is>
          <t>c5.xlarge</t>
        </is>
      </c>
      <c r="F8" s="12" t="n">
        <v>0.17</v>
      </c>
      <c r="G8" s="13" t="n">
        <v>244.97</v>
      </c>
      <c r="H8" s="13" t="n">
        <v>0</v>
      </c>
      <c r="I8" s="15" t="n">
        <v>0.527</v>
      </c>
      <c r="J8" s="11" t="inlineStr">
        <is>
          <t>Healthy</t>
        </is>
      </c>
      <c r="K8" s="11" t="inlineStr">
        <is>
          <t>Convert to 1-Yr RI</t>
        </is>
      </c>
    </row>
    <row r="9">
      <c r="A9" s="11" t="inlineStr">
        <is>
          <t>i-prod-pay01</t>
        </is>
      </c>
      <c r="B9" s="11" t="inlineStr">
        <is>
          <t>payment-gateway</t>
        </is>
      </c>
      <c r="C9" s="11" t="inlineStr">
        <is>
          <t>AWS</t>
        </is>
      </c>
      <c r="D9" s="11" t="inlineStr">
        <is>
          <t>Production</t>
        </is>
      </c>
      <c r="E9" s="11" t="inlineStr">
        <is>
          <t>m5.xlarge</t>
        </is>
      </c>
      <c r="F9" s="12" t="n">
        <v>0.192</v>
      </c>
      <c r="G9" s="13" t="n">
        <v>276.67</v>
      </c>
      <c r="H9" s="13" t="n">
        <v>0</v>
      </c>
      <c r="I9" s="15" t="n">
        <v>0.493</v>
      </c>
      <c r="J9" s="17" t="inlineStr">
        <is>
          <t>Memory Leak Alert</t>
        </is>
      </c>
      <c r="K9" s="11" t="inlineStr">
        <is>
          <t>Hotfix Application</t>
        </is>
      </c>
    </row>
    <row r="10">
      <c r="A10" s="11" t="inlineStr">
        <is>
          <t>i-prod-cat01</t>
        </is>
      </c>
      <c r="B10" s="11" t="inlineStr">
        <is>
          <t>catalog-api</t>
        </is>
      </c>
      <c r="C10" s="11" t="inlineStr">
        <is>
          <t>AWS</t>
        </is>
      </c>
      <c r="D10" s="11" t="inlineStr">
        <is>
          <t>Production</t>
        </is>
      </c>
      <c r="E10" s="11" t="inlineStr">
        <is>
          <t>t3.large</t>
        </is>
      </c>
      <c r="F10" s="12" t="n">
        <v>0.083</v>
      </c>
      <c r="G10" s="13" t="n">
        <v>119.6</v>
      </c>
      <c r="H10" s="13" t="n">
        <v>0</v>
      </c>
      <c r="I10" s="15" t="n">
        <v>0.3893</v>
      </c>
      <c r="J10" s="11" t="inlineStr">
        <is>
          <t>Healthy</t>
        </is>
      </c>
      <c r="K10" s="11" t="inlineStr">
        <is>
          <t>Convert to 1-Yr RI</t>
        </is>
      </c>
    </row>
    <row r="11">
      <c r="A11" s="11" t="inlineStr">
        <is>
          <t>i-prod-rec01</t>
        </is>
      </c>
      <c r="B11" s="11" t="inlineStr">
        <is>
          <t>recommendation-engine</t>
        </is>
      </c>
      <c r="C11" s="11" t="inlineStr">
        <is>
          <t>AWS</t>
        </is>
      </c>
      <c r="D11" s="11" t="inlineStr">
        <is>
          <t>Production</t>
        </is>
      </c>
      <c r="E11" s="11" t="inlineStr">
        <is>
          <t>c5.xlarge</t>
        </is>
      </c>
      <c r="F11" s="12" t="n">
        <v>0.17</v>
      </c>
      <c r="G11" s="13" t="n">
        <v>244.97</v>
      </c>
      <c r="H11" s="13" t="n">
        <v>0</v>
      </c>
      <c r="I11" s="15" t="n">
        <v>0.6502</v>
      </c>
      <c r="J11" s="17" t="inlineStr">
        <is>
          <t>CPU Spike Alert</t>
        </is>
      </c>
      <c r="K11" s="11" t="inlineStr">
        <is>
          <t>Enable Auto-scaling</t>
        </is>
      </c>
    </row>
    <row r="12">
      <c r="A12" s="11" t="inlineStr">
        <is>
          <t>i-prod-notif01</t>
        </is>
      </c>
      <c r="B12" s="11" t="inlineStr">
        <is>
          <t>notification-worker</t>
        </is>
      </c>
      <c r="C12" s="11" t="inlineStr">
        <is>
          <t>AWS</t>
        </is>
      </c>
      <c r="D12" s="11" t="inlineStr">
        <is>
          <t>Production</t>
        </is>
      </c>
      <c r="E12" s="11" t="inlineStr">
        <is>
          <t>t3.medium</t>
        </is>
      </c>
      <c r="F12" s="12" t="n">
        <v>0.042</v>
      </c>
      <c r="G12" s="13" t="n">
        <v>60.52</v>
      </c>
      <c r="H12" s="13" t="n">
        <v>0</v>
      </c>
      <c r="I12" s="15" t="n">
        <v>0.3881</v>
      </c>
      <c r="J12" s="11" t="inlineStr">
        <is>
          <t>Healthy</t>
        </is>
      </c>
      <c r="K12" s="11" t="inlineStr">
        <is>
          <t>Maintain</t>
        </is>
      </c>
    </row>
    <row r="13">
      <c r="A13" s="11" t="inlineStr">
        <is>
          <t>vm-prod-db01</t>
        </is>
      </c>
      <c r="B13" s="11" t="inlineStr">
        <is>
          <t>orders-db</t>
        </is>
      </c>
      <c r="C13" s="11" t="inlineStr">
        <is>
          <t>Azure</t>
        </is>
      </c>
      <c r="D13" s="11" t="inlineStr">
        <is>
          <t>Production</t>
        </is>
      </c>
      <c r="E13" s="11" t="inlineStr">
        <is>
          <t>Standard_E4s_v5</t>
        </is>
      </c>
      <c r="F13" s="12" t="n">
        <v>0.26</v>
      </c>
      <c r="G13" s="13" t="n">
        <v>374.66</v>
      </c>
      <c r="H13" s="13" t="n">
        <v>0</v>
      </c>
      <c r="I13" s="15" t="n">
        <v>0.3888</v>
      </c>
      <c r="J13" s="11" t="inlineStr">
        <is>
          <t>Healthy</t>
        </is>
      </c>
      <c r="K13" s="11" t="inlineStr">
        <is>
          <t>Convert to 1-Yr RI</t>
        </is>
      </c>
    </row>
    <row r="14">
      <c r="A14" s="11" t="inlineStr">
        <is>
          <t>vm-prod-search01</t>
        </is>
      </c>
      <c r="B14" s="11" t="inlineStr">
        <is>
          <t>search-service</t>
        </is>
      </c>
      <c r="C14" s="11" t="inlineStr">
        <is>
          <t>Azure</t>
        </is>
      </c>
      <c r="D14" s="11" t="inlineStr">
        <is>
          <t>Production</t>
        </is>
      </c>
      <c r="E14" s="11" t="inlineStr">
        <is>
          <t>Standard_D4s_v5</t>
        </is>
      </c>
      <c r="F14" s="12" t="n">
        <v>0.192</v>
      </c>
      <c r="G14" s="13" t="n">
        <v>276.67</v>
      </c>
      <c r="H14" s="13" t="n">
        <v>0</v>
      </c>
      <c r="I14" s="15" t="n">
        <v>0.3907</v>
      </c>
      <c r="J14" s="11" t="inlineStr">
        <is>
          <t>Healthy</t>
        </is>
      </c>
      <c r="K14" s="11" t="inlineStr">
        <is>
          <t>Convert to 1-Yr RI</t>
        </is>
      </c>
    </row>
    <row r="15">
      <c r="A15" s="11" t="inlineStr">
        <is>
          <t>i-stg-pay01</t>
        </is>
      </c>
      <c r="B15" s="11" t="inlineStr">
        <is>
          <t>payment-gateway</t>
        </is>
      </c>
      <c r="C15" s="11" t="inlineStr">
        <is>
          <t>AWS</t>
        </is>
      </c>
      <c r="D15" s="11" t="inlineStr">
        <is>
          <t>Staging</t>
        </is>
      </c>
      <c r="E15" s="11" t="inlineStr">
        <is>
          <t>t3.medium</t>
        </is>
      </c>
      <c r="F15" s="12" t="n">
        <v>0.042</v>
      </c>
      <c r="G15" s="13" t="n">
        <v>60.52</v>
      </c>
      <c r="H15" s="13" t="n">
        <v>0</v>
      </c>
      <c r="I15" s="15" t="n">
        <v>0.1636</v>
      </c>
      <c r="J15" s="11" t="inlineStr">
        <is>
          <t>Healthy</t>
        </is>
      </c>
      <c r="K15" s="11" t="inlineStr">
        <is>
          <t>Maintain</t>
        </is>
      </c>
    </row>
    <row r="16">
      <c r="A16" s="11" t="inlineStr">
        <is>
          <t>i-stg-auth01</t>
        </is>
      </c>
      <c r="B16" s="11" t="inlineStr">
        <is>
          <t>auth-service</t>
        </is>
      </c>
      <c r="C16" s="11" t="inlineStr">
        <is>
          <t>AWS</t>
        </is>
      </c>
      <c r="D16" s="11" t="inlineStr">
        <is>
          <t>Staging</t>
        </is>
      </c>
      <c r="E16" s="11" t="inlineStr">
        <is>
          <t>t3.medium</t>
        </is>
      </c>
      <c r="F16" s="12" t="n">
        <v>0.042</v>
      </c>
      <c r="G16" s="13" t="n">
        <v>60.52</v>
      </c>
      <c r="H16" s="13" t="n">
        <v>0</v>
      </c>
      <c r="I16" s="15" t="n">
        <v>0.1621</v>
      </c>
      <c r="J16" s="11" t="inlineStr">
        <is>
          <t>Healthy</t>
        </is>
      </c>
      <c r="K16" s="11" t="inlineStr">
        <is>
          <t>Maintain</t>
        </is>
      </c>
    </row>
    <row r="17">
      <c r="A17" s="18" t="inlineStr">
        <is>
          <t>Total Fleet</t>
        </is>
      </c>
      <c r="G17" s="19">
        <f>SUM(G5:G16)</f>
        <v/>
      </c>
      <c r="H17" s="19">
        <f>SUM(H5:H16)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33" customWidth="1" min="2" max="2"/>
    <col width="19" customWidth="1" min="3" max="3"/>
    <col width="24" customWidth="1" min="4" max="4"/>
    <col width="24" customWidth="1" min="5" max="5"/>
    <col width="28" customWidth="1" min="6" max="6"/>
    <col width="39" customWidth="1" min="7" max="7"/>
    <col width="22" customWidth="1" min="8" max="8"/>
  </cols>
  <sheetData>
    <row r="1">
      <c r="A1" s="8" t="inlineStr">
        <is>
          <t>Production Workload Reserved Instance (RI) Scenario Model</t>
        </is>
      </c>
    </row>
    <row r="2">
      <c r="A2" s="20" t="inlineStr">
        <is>
          <t>Evaluates 1-Year (38% discount) and 3-Year (55% discount) commitments on baseline production instances.</t>
        </is>
      </c>
    </row>
    <row r="3"/>
    <row r="4">
      <c r="B4" s="18" t="inlineStr">
        <is>
          <t>Strategic RI Target Coverage:</t>
        </is>
      </c>
      <c r="C4" s="21" t="n">
        <v>0.8</v>
      </c>
    </row>
    <row r="5"/>
    <row r="6">
      <c r="A6" s="10" t="inlineStr">
        <is>
          <t>Production Instance</t>
        </is>
      </c>
      <c r="B6" s="10" t="inlineStr">
        <is>
          <t>Service</t>
        </is>
      </c>
      <c r="C6" s="10" t="inlineStr">
        <is>
          <t>Instance Type</t>
        </is>
      </c>
      <c r="D6" s="10" t="inlineStr">
        <is>
          <t>On-Demand Hourly ($)</t>
        </is>
      </c>
      <c r="E6" s="10" t="inlineStr">
        <is>
          <t>Annual On-Demand ($)</t>
        </is>
      </c>
      <c r="F6" s="10" t="inlineStr">
        <is>
          <t>1-Yr RI Hourly (38% Off)</t>
        </is>
      </c>
      <c r="G6" s="10" t="inlineStr">
        <is>
          <t>Annual 1-Yr RI Cost ($)</t>
        </is>
      </c>
      <c r="H6" s="10" t="inlineStr">
        <is>
          <t>Annual Savings ($)</t>
        </is>
      </c>
    </row>
    <row r="7">
      <c r="A7" s="22" t="inlineStr">
        <is>
          <t>i-prod-auth01</t>
        </is>
      </c>
      <c r="B7" s="22" t="inlineStr">
        <is>
          <t>auth-service</t>
        </is>
      </c>
      <c r="C7" s="22" t="inlineStr">
        <is>
          <t>c5.xlarge</t>
        </is>
      </c>
      <c r="D7" s="23" t="n">
        <v>0.17</v>
      </c>
      <c r="E7" s="24">
        <f>D7*24*365</f>
        <v/>
      </c>
      <c r="F7" s="23">
        <f>D7*(1-0.38)</f>
        <v/>
      </c>
      <c r="G7" s="24">
        <f>(E7*(1-$C$4)) + ($C$4*F7*24*365)</f>
        <v/>
      </c>
      <c r="H7" s="25">
        <f>E7-G7</f>
        <v/>
      </c>
    </row>
    <row r="8">
      <c r="A8" s="22" t="inlineStr">
        <is>
          <t>i-prod-cat01</t>
        </is>
      </c>
      <c r="B8" s="22" t="inlineStr">
        <is>
          <t>catalog-api</t>
        </is>
      </c>
      <c r="C8" s="22" t="inlineStr">
        <is>
          <t>t3.large</t>
        </is>
      </c>
      <c r="D8" s="23" t="n">
        <v>0.083</v>
      </c>
      <c r="E8" s="24">
        <f>D8*24*365</f>
        <v/>
      </c>
      <c r="F8" s="23">
        <f>D8*(1-0.38)</f>
        <v/>
      </c>
      <c r="G8" s="24">
        <f>(E8*(1-$C$4)) + ($C$4*F8*24*365)</f>
        <v/>
      </c>
      <c r="H8" s="25">
        <f>E8-G8</f>
        <v/>
      </c>
    </row>
    <row r="9">
      <c r="A9" s="22" t="inlineStr">
        <is>
          <t>i-prod-notif01</t>
        </is>
      </c>
      <c r="B9" s="22" t="inlineStr">
        <is>
          <t>notification-worker</t>
        </is>
      </c>
      <c r="C9" s="22" t="inlineStr">
        <is>
          <t>t3.medium</t>
        </is>
      </c>
      <c r="D9" s="23" t="n">
        <v>0.042</v>
      </c>
      <c r="E9" s="24">
        <f>D9*24*365</f>
        <v/>
      </c>
      <c r="F9" s="23">
        <f>D9*(1-0.38)</f>
        <v/>
      </c>
      <c r="G9" s="24">
        <f>(E9*(1-$C$4)) + ($C$4*F9*24*365)</f>
        <v/>
      </c>
      <c r="H9" s="25">
        <f>E9-G9</f>
        <v/>
      </c>
    </row>
    <row r="10">
      <c r="A10" s="22" t="inlineStr">
        <is>
          <t>vm-prod-db01</t>
        </is>
      </c>
      <c r="B10" s="22" t="inlineStr">
        <is>
          <t>orders-db</t>
        </is>
      </c>
      <c r="C10" s="22" t="inlineStr">
        <is>
          <t>Standard_E4s_v5</t>
        </is>
      </c>
      <c r="D10" s="23" t="n">
        <v>0.26</v>
      </c>
      <c r="E10" s="24">
        <f>D10*24*365</f>
        <v/>
      </c>
      <c r="F10" s="23">
        <f>D10*(1-0.38)</f>
        <v/>
      </c>
      <c r="G10" s="24">
        <f>(E10*(1-$C$4)) + ($C$4*F10*24*365)</f>
        <v/>
      </c>
      <c r="H10" s="25">
        <f>E10-G10</f>
        <v/>
      </c>
    </row>
    <row r="11">
      <c r="A11" s="22" t="inlineStr">
        <is>
          <t>vm-prod-search01</t>
        </is>
      </c>
      <c r="B11" s="22" t="inlineStr">
        <is>
          <t>search-service</t>
        </is>
      </c>
      <c r="C11" s="22" t="inlineStr">
        <is>
          <t>Standard_D4s_v5</t>
        </is>
      </c>
      <c r="D11" s="23" t="n">
        <v>0.192</v>
      </c>
      <c r="E11" s="24">
        <f>D11*24*365</f>
        <v/>
      </c>
      <c r="F11" s="23">
        <f>D11*(1-0.38)</f>
        <v/>
      </c>
      <c r="G11" s="24">
        <f>(E11*(1-$C$4)) + ($C$4*F11*24*365)</f>
        <v/>
      </c>
      <c r="H11" s="25">
        <f>E11-G11</f>
        <v/>
      </c>
    </row>
    <row r="12"/>
    <row r="13">
      <c r="A13" s="18" t="inlineStr">
        <is>
          <t>Total Production Fleet</t>
        </is>
      </c>
      <c r="E13" s="19">
        <f>SUM(E7:E11)</f>
        <v/>
      </c>
      <c r="G13" s="19">
        <f>SUM(G7:G11)</f>
        <v/>
      </c>
      <c r="H13" s="26">
        <f>SUM(H7:H11)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2026-09-07T06:32:11Z</dcterms:created>
  <dcterms:modified xsi:type="dcterms:W3CDTF">2026-09-07T06:32:11Z</dcterms:modified>
</cp:coreProperties>
</file>